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80D9D"/>
      <sz val="10"/>
    </font>
    <font>
      <name val="Calibri"/>
      <b val="1"/>
      <color rgb="00FFFFFF"/>
      <sz val="10"/>
    </font>
    <font>
      <name val="Calibri"/>
      <color rgb="001B1520"/>
      <sz val="10"/>
    </font>
    <font>
      <name val="Calibri"/>
      <b val="1"/>
      <color rgb="00440A79"/>
      <sz val="10"/>
    </font>
    <font>
      <name val="Calibri"/>
      <b val="1"/>
      <color rgb="001E8A5B"/>
      <sz val="10"/>
    </font>
    <font>
      <name val="Calibri"/>
      <b val="1"/>
      <color rgb="003A2A00"/>
      <sz val="11"/>
    </font>
    <font>
      <name val="Calibri"/>
      <b val="1"/>
      <color rgb="00440A79"/>
      <sz val="20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440A79"/>
      <sz val="11"/>
    </font>
    <font>
      <name val="Calibri"/>
      <b val="1"/>
      <color rgb="00440A79"/>
      <sz val="13"/>
    </font>
    <font>
      <name val="Calibri"/>
      <b val="1"/>
      <color rgb="003A2A00"/>
      <sz val="12"/>
    </font>
    <font>
      <name val="Calibri"/>
      <color rgb="001B1520"/>
      <sz val="11"/>
    </font>
    <font>
      <name val="Calibri"/>
      <b val="1"/>
      <color rgb="00E4148C"/>
      <sz val="11"/>
    </font>
    <font>
      <name val="Calibri"/>
      <b val="1"/>
      <color rgb="001E8A5B"/>
      <sz val="11"/>
    </font>
    <font>
      <name val="Calibri"/>
      <i val="1"/>
      <color rgb="006B6376"/>
      <sz val="10"/>
    </font>
  </fonts>
  <fills count="10">
    <fill>
      <patternFill/>
    </fill>
    <fill>
      <patternFill patternType="gray125"/>
    </fill>
    <fill>
      <patternFill patternType="solid">
        <fgColor rgb="00440A79"/>
      </patternFill>
    </fill>
    <fill>
      <patternFill patternType="solid">
        <fgColor rgb="00EEE4F9"/>
      </patternFill>
    </fill>
    <fill>
      <patternFill patternType="solid">
        <fgColor rgb="00580D9D"/>
      </patternFill>
    </fill>
    <fill>
      <patternFill patternType="solid">
        <fgColor rgb="00F6F1FC"/>
      </patternFill>
    </fill>
    <fill>
      <patternFill patternType="solid">
        <fgColor rgb="00FFDD00"/>
      </patternFill>
    </fill>
    <fill>
      <patternFill patternType="solid">
        <fgColor rgb="001E8A5B"/>
      </patternFill>
    </fill>
    <fill>
      <patternFill patternType="solid">
        <fgColor rgb="00E4148C"/>
      </patternFill>
    </fill>
    <fill>
      <patternFill patternType="solid">
        <fgColor rgb="00E4F3EB"/>
      </patternFill>
    </fill>
  </fills>
  <borders count="2">
    <border>
      <left/>
      <right/>
      <top/>
      <bottom/>
      <diagonal/>
    </border>
    <border>
      <left style="thin">
        <color rgb="00E9E2F1"/>
      </left>
      <right style="thin">
        <color rgb="00E9E2F1"/>
      </right>
      <top style="thin">
        <color rgb="00E9E2F1"/>
      </top>
      <bottom style="thin">
        <color rgb="00E9E2F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4" fontId="7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indent="1"/>
    </xf>
    <xf numFmtId="164" fontId="10" fillId="4" borderId="1" applyAlignment="1" pivotButton="0" quotePrefix="0" xfId="0">
      <alignment horizontal="right" vertical="center" indent="1"/>
    </xf>
    <xf numFmtId="0" fontId="9" fillId="7" borderId="1" applyAlignment="1" pivotButton="0" quotePrefix="0" xfId="0">
      <alignment horizontal="left" vertical="center" indent="1"/>
    </xf>
    <xf numFmtId="164" fontId="10" fillId="7" borderId="1" applyAlignment="1" pivotButton="0" quotePrefix="0" xfId="0">
      <alignment horizontal="right" vertical="center" indent="1"/>
    </xf>
    <xf numFmtId="0" fontId="9" fillId="8" borderId="1" applyAlignment="1" pivotButton="0" quotePrefix="0" xfId="0">
      <alignment horizontal="left" vertical="center" indent="1"/>
    </xf>
    <xf numFmtId="164" fontId="10" fillId="8" borderId="1" applyAlignment="1" pivotButton="0" quotePrefix="0" xfId="0">
      <alignment horizontal="right" vertical="center" indent="1"/>
    </xf>
    <xf numFmtId="0" fontId="11" fillId="3" borderId="1" applyAlignment="1" pivotButton="0" quotePrefix="0" xfId="0">
      <alignment horizontal="left" vertical="center" indent="1"/>
    </xf>
    <xf numFmtId="1" fontId="12" fillId="3" borderId="1" applyAlignment="1" pivotButton="0" quotePrefix="0" xfId="0">
      <alignment horizontal="right" vertical="center" indent="1"/>
    </xf>
    <xf numFmtId="164" fontId="12" fillId="3" borderId="1" applyAlignment="1" pivotButton="0" quotePrefix="0" xfId="0">
      <alignment horizontal="right" vertical="center" indent="1"/>
    </xf>
    <xf numFmtId="165" fontId="12" fillId="3" borderId="1" applyAlignment="1" pivotButton="0" quotePrefix="0" xfId="0">
      <alignment horizontal="right" vertical="center" indent="1"/>
    </xf>
    <xf numFmtId="0" fontId="13" fillId="6" borderId="0" applyAlignment="1" pivotButton="0" quotePrefix="0" xfId="0">
      <alignment horizontal="left" vertical="center" indent="1"/>
    </xf>
    <xf numFmtId="0" fontId="14" fillId="0" borderId="0" pivotButton="0" quotePrefix="0" xfId="0"/>
    <xf numFmtId="164" fontId="15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5" fontId="16" fillId="9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4148C"/>
    <outlinePr summaryBelow="1" summaryRight="1"/>
    <pageSetUpPr/>
  </sheetPr>
  <dimension ref="A1:I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4" customWidth="1" min="5" max="5"/>
    <col width="12" customWidth="1" min="6" max="6"/>
    <col width="14" customWidth="1" min="7" max="7"/>
    <col width="18" customWidth="1" min="8" max="8"/>
    <col width="22" customWidth="1" min="9" max="9"/>
  </cols>
  <sheetData>
    <row r="1" ht="34" customHeight="1">
      <c r="A1" s="1" t="inlineStr">
        <is>
          <t>DREE MAQUIAGEM  ·  Planner Financeiro</t>
        </is>
      </c>
    </row>
    <row r="2" ht="22" customHeight="1">
      <c r="A2" s="2" t="inlineStr">
        <is>
          <t>Registro de vendas — preencha as colunas claras. O lucro é calculado sozinho. 💜</t>
        </is>
      </c>
    </row>
    <row r="4" ht="26" customHeight="1">
      <c r="A4" s="3" t="inlineStr">
        <is>
          <t>Data</t>
        </is>
      </c>
      <c r="B4" s="3" t="inlineStr">
        <is>
          <t>Cliente</t>
        </is>
      </c>
      <c r="C4" s="3" t="inlineStr">
        <is>
          <t>Produto</t>
        </is>
      </c>
      <c r="D4" s="3" t="inlineStr">
        <is>
          <t>Custo (R$)</t>
        </is>
      </c>
      <c r="E4" s="3" t="inlineStr">
        <is>
          <t>Venda (R$)</t>
        </is>
      </c>
      <c r="F4" s="3" t="inlineStr">
        <is>
          <t>Qtd</t>
        </is>
      </c>
      <c r="G4" s="3" t="inlineStr">
        <is>
          <t>Total (R$)</t>
        </is>
      </c>
      <c r="H4" s="3" t="inlineStr">
        <is>
          <t>Lucro (R$)</t>
        </is>
      </c>
      <c r="I4" s="3" t="inlineStr">
        <is>
          <t>Pagamento</t>
        </is>
      </c>
    </row>
    <row r="5">
      <c r="A5" s="4" t="n"/>
      <c r="B5" s="4" t="n"/>
      <c r="C5" s="4" t="n"/>
      <c r="D5" s="5" t="n"/>
      <c r="E5" s="5" t="n"/>
      <c r="F5" s="6" t="n"/>
      <c r="G5" s="7">
        <f>IF(E5&lt;&gt;"",E5*IF(F5="",1,F5),"")</f>
        <v/>
      </c>
      <c r="H5" s="8">
        <f>IF(AND(D5&lt;&gt;"",E5&lt;&gt;""),(E5-D5)*IF(F5="",1,F5),"")</f>
        <v/>
      </c>
      <c r="I5" s="4" t="n"/>
    </row>
    <row r="6">
      <c r="A6" s="9" t="n"/>
      <c r="B6" s="9" t="n"/>
      <c r="C6" s="9" t="n"/>
      <c r="D6" s="10" t="n"/>
      <c r="E6" s="10" t="n"/>
      <c r="F6" s="11" t="n"/>
      <c r="G6" s="12">
        <f>IF(E6&lt;&gt;"",E6*IF(F6="",1,F6),"")</f>
        <v/>
      </c>
      <c r="H6" s="13">
        <f>IF(AND(D6&lt;&gt;"",E6&lt;&gt;""),(E6-D6)*IF(F6="",1,F6),"")</f>
        <v/>
      </c>
      <c r="I6" s="9" t="n"/>
    </row>
    <row r="7">
      <c r="A7" s="4" t="n"/>
      <c r="B7" s="4" t="n"/>
      <c r="C7" s="4" t="n"/>
      <c r="D7" s="5" t="n"/>
      <c r="E7" s="5" t="n"/>
      <c r="F7" s="6" t="n"/>
      <c r="G7" s="7">
        <f>IF(E7&lt;&gt;"",E7*IF(F7="",1,F7),"")</f>
        <v/>
      </c>
      <c r="H7" s="8">
        <f>IF(AND(D7&lt;&gt;"",E7&lt;&gt;""),(E7-D7)*IF(F7="",1,F7),"")</f>
        <v/>
      </c>
      <c r="I7" s="4" t="n"/>
    </row>
    <row r="8">
      <c r="A8" s="9" t="n"/>
      <c r="B8" s="9" t="n"/>
      <c r="C8" s="9" t="n"/>
      <c r="D8" s="10" t="n"/>
      <c r="E8" s="10" t="n"/>
      <c r="F8" s="11" t="n"/>
      <c r="G8" s="12">
        <f>IF(E8&lt;&gt;"",E8*IF(F8="",1,F8),"")</f>
        <v/>
      </c>
      <c r="H8" s="13">
        <f>IF(AND(D8&lt;&gt;"",E8&lt;&gt;""),(E8-D8)*IF(F8="",1,F8),"")</f>
        <v/>
      </c>
      <c r="I8" s="9" t="n"/>
    </row>
    <row r="9">
      <c r="A9" s="4" t="n"/>
      <c r="B9" s="4" t="n"/>
      <c r="C9" s="4" t="n"/>
      <c r="D9" s="5" t="n"/>
      <c r="E9" s="5" t="n"/>
      <c r="F9" s="6" t="n"/>
      <c r="G9" s="7">
        <f>IF(E9&lt;&gt;"",E9*IF(F9="",1,F9),"")</f>
        <v/>
      </c>
      <c r="H9" s="8">
        <f>IF(AND(D9&lt;&gt;"",E9&lt;&gt;""),(E9-D9)*IF(F9="",1,F9),"")</f>
        <v/>
      </c>
      <c r="I9" s="4" t="n"/>
    </row>
    <row r="10">
      <c r="A10" s="9" t="n"/>
      <c r="B10" s="9" t="n"/>
      <c r="C10" s="9" t="n"/>
      <c r="D10" s="10" t="n"/>
      <c r="E10" s="10" t="n"/>
      <c r="F10" s="11" t="n"/>
      <c r="G10" s="12">
        <f>IF(E10&lt;&gt;"",E10*IF(F10="",1,F10),"")</f>
        <v/>
      </c>
      <c r="H10" s="13">
        <f>IF(AND(D10&lt;&gt;"",E10&lt;&gt;""),(E10-D10)*IF(F10="",1,F10),"")</f>
        <v/>
      </c>
      <c r="I10" s="9" t="n"/>
    </row>
    <row r="11">
      <c r="A11" s="4" t="n"/>
      <c r="B11" s="4" t="n"/>
      <c r="C11" s="4" t="n"/>
      <c r="D11" s="5" t="n"/>
      <c r="E11" s="5" t="n"/>
      <c r="F11" s="6" t="n"/>
      <c r="G11" s="7">
        <f>IF(E11&lt;&gt;"",E11*IF(F11="",1,F11),"")</f>
        <v/>
      </c>
      <c r="H11" s="8">
        <f>IF(AND(D11&lt;&gt;"",E11&lt;&gt;""),(E11-D11)*IF(F11="",1,F11),"")</f>
        <v/>
      </c>
      <c r="I11" s="4" t="n"/>
    </row>
    <row r="12">
      <c r="A12" s="9" t="n"/>
      <c r="B12" s="9" t="n"/>
      <c r="C12" s="9" t="n"/>
      <c r="D12" s="10" t="n"/>
      <c r="E12" s="10" t="n"/>
      <c r="F12" s="11" t="n"/>
      <c r="G12" s="12">
        <f>IF(E12&lt;&gt;"",E12*IF(F12="",1,F12),"")</f>
        <v/>
      </c>
      <c r="H12" s="13">
        <f>IF(AND(D12&lt;&gt;"",E12&lt;&gt;""),(E12-D12)*IF(F12="",1,F12),"")</f>
        <v/>
      </c>
      <c r="I12" s="9" t="n"/>
    </row>
    <row r="13">
      <c r="A13" s="4" t="n"/>
      <c r="B13" s="4" t="n"/>
      <c r="C13" s="4" t="n"/>
      <c r="D13" s="5" t="n"/>
      <c r="E13" s="5" t="n"/>
      <c r="F13" s="6" t="n"/>
      <c r="G13" s="7">
        <f>IF(E13&lt;&gt;"",E13*IF(F13="",1,F13),"")</f>
        <v/>
      </c>
      <c r="H13" s="8">
        <f>IF(AND(D13&lt;&gt;"",E13&lt;&gt;""),(E13-D13)*IF(F13="",1,F13),"")</f>
        <v/>
      </c>
      <c r="I13" s="4" t="n"/>
    </row>
    <row r="14">
      <c r="A14" s="9" t="n"/>
      <c r="B14" s="9" t="n"/>
      <c r="C14" s="9" t="n"/>
      <c r="D14" s="10" t="n"/>
      <c r="E14" s="10" t="n"/>
      <c r="F14" s="11" t="n"/>
      <c r="G14" s="12">
        <f>IF(E14&lt;&gt;"",E14*IF(F14="",1,F14),"")</f>
        <v/>
      </c>
      <c r="H14" s="13">
        <f>IF(AND(D14&lt;&gt;"",E14&lt;&gt;""),(E14-D14)*IF(F14="",1,F14),"")</f>
        <v/>
      </c>
      <c r="I14" s="9" t="n"/>
    </row>
    <row r="15">
      <c r="A15" s="4" t="n"/>
      <c r="B15" s="4" t="n"/>
      <c r="C15" s="4" t="n"/>
      <c r="D15" s="5" t="n"/>
      <c r="E15" s="5" t="n"/>
      <c r="F15" s="6" t="n"/>
      <c r="G15" s="7">
        <f>IF(E15&lt;&gt;"",E15*IF(F15="",1,F15),"")</f>
        <v/>
      </c>
      <c r="H15" s="8">
        <f>IF(AND(D15&lt;&gt;"",E15&lt;&gt;""),(E15-D15)*IF(F15="",1,F15),"")</f>
        <v/>
      </c>
      <c r="I15" s="4" t="n"/>
    </row>
    <row r="16">
      <c r="A16" s="9" t="n"/>
      <c r="B16" s="9" t="n"/>
      <c r="C16" s="9" t="n"/>
      <c r="D16" s="10" t="n"/>
      <c r="E16" s="10" t="n"/>
      <c r="F16" s="11" t="n"/>
      <c r="G16" s="12">
        <f>IF(E16&lt;&gt;"",E16*IF(F16="",1,F16),"")</f>
        <v/>
      </c>
      <c r="H16" s="13">
        <f>IF(AND(D16&lt;&gt;"",E16&lt;&gt;""),(E16-D16)*IF(F16="",1,F16),"")</f>
        <v/>
      </c>
      <c r="I16" s="9" t="n"/>
    </row>
    <row r="17">
      <c r="A17" s="4" t="n"/>
      <c r="B17" s="4" t="n"/>
      <c r="C17" s="4" t="n"/>
      <c r="D17" s="5" t="n"/>
      <c r="E17" s="5" t="n"/>
      <c r="F17" s="6" t="n"/>
      <c r="G17" s="7">
        <f>IF(E17&lt;&gt;"",E17*IF(F17="",1,F17),"")</f>
        <v/>
      </c>
      <c r="H17" s="8">
        <f>IF(AND(D17&lt;&gt;"",E17&lt;&gt;""),(E17-D17)*IF(F17="",1,F17),"")</f>
        <v/>
      </c>
      <c r="I17" s="4" t="n"/>
    </row>
    <row r="18">
      <c r="A18" s="9" t="n"/>
      <c r="B18" s="9" t="n"/>
      <c r="C18" s="9" t="n"/>
      <c r="D18" s="10" t="n"/>
      <c r="E18" s="10" t="n"/>
      <c r="F18" s="11" t="n"/>
      <c r="G18" s="12">
        <f>IF(E18&lt;&gt;"",E18*IF(F18="",1,F18),"")</f>
        <v/>
      </c>
      <c r="H18" s="13">
        <f>IF(AND(D18&lt;&gt;"",E18&lt;&gt;""),(E18-D18)*IF(F18="",1,F18),"")</f>
        <v/>
      </c>
      <c r="I18" s="9" t="n"/>
    </row>
    <row r="19">
      <c r="A19" s="4" t="n"/>
      <c r="B19" s="4" t="n"/>
      <c r="C19" s="4" t="n"/>
      <c r="D19" s="5" t="n"/>
      <c r="E19" s="5" t="n"/>
      <c r="F19" s="6" t="n"/>
      <c r="G19" s="7">
        <f>IF(E19&lt;&gt;"",E19*IF(F19="",1,F19),"")</f>
        <v/>
      </c>
      <c r="H19" s="8">
        <f>IF(AND(D19&lt;&gt;"",E19&lt;&gt;""),(E19-D19)*IF(F19="",1,F19),"")</f>
        <v/>
      </c>
      <c r="I19" s="4" t="n"/>
    </row>
    <row r="20">
      <c r="A20" s="9" t="n"/>
      <c r="B20" s="9" t="n"/>
      <c r="C20" s="9" t="n"/>
      <c r="D20" s="10" t="n"/>
      <c r="E20" s="10" t="n"/>
      <c r="F20" s="11" t="n"/>
      <c r="G20" s="12">
        <f>IF(E20&lt;&gt;"",E20*IF(F20="",1,F20),"")</f>
        <v/>
      </c>
      <c r="H20" s="13">
        <f>IF(AND(D20&lt;&gt;"",E20&lt;&gt;""),(E20-D20)*IF(F20="",1,F20),"")</f>
        <v/>
      </c>
      <c r="I20" s="9" t="n"/>
    </row>
    <row r="21">
      <c r="A21" s="4" t="n"/>
      <c r="B21" s="4" t="n"/>
      <c r="C21" s="4" t="n"/>
      <c r="D21" s="5" t="n"/>
      <c r="E21" s="5" t="n"/>
      <c r="F21" s="6" t="n"/>
      <c r="G21" s="7">
        <f>IF(E21&lt;&gt;"",E21*IF(F21="",1,F21),"")</f>
        <v/>
      </c>
      <c r="H21" s="8">
        <f>IF(AND(D21&lt;&gt;"",E21&lt;&gt;""),(E21-D21)*IF(F21="",1,F21),"")</f>
        <v/>
      </c>
      <c r="I21" s="4" t="n"/>
    </row>
    <row r="22">
      <c r="A22" s="9" t="n"/>
      <c r="B22" s="9" t="n"/>
      <c r="C22" s="9" t="n"/>
      <c r="D22" s="10" t="n"/>
      <c r="E22" s="10" t="n"/>
      <c r="F22" s="11" t="n"/>
      <c r="G22" s="12">
        <f>IF(E22&lt;&gt;"",E22*IF(F22="",1,F22),"")</f>
        <v/>
      </c>
      <c r="H22" s="13">
        <f>IF(AND(D22&lt;&gt;"",E22&lt;&gt;""),(E22-D22)*IF(F22="",1,F22),"")</f>
        <v/>
      </c>
      <c r="I22" s="9" t="n"/>
    </row>
    <row r="23">
      <c r="A23" s="4" t="n"/>
      <c r="B23" s="4" t="n"/>
      <c r="C23" s="4" t="n"/>
      <c r="D23" s="5" t="n"/>
      <c r="E23" s="5" t="n"/>
      <c r="F23" s="6" t="n"/>
      <c r="G23" s="7">
        <f>IF(E23&lt;&gt;"",E23*IF(F23="",1,F23),"")</f>
        <v/>
      </c>
      <c r="H23" s="8">
        <f>IF(AND(D23&lt;&gt;"",E23&lt;&gt;""),(E23-D23)*IF(F23="",1,F23),"")</f>
        <v/>
      </c>
      <c r="I23" s="4" t="n"/>
    </row>
    <row r="24">
      <c r="A24" s="9" t="n"/>
      <c r="B24" s="9" t="n"/>
      <c r="C24" s="9" t="n"/>
      <c r="D24" s="10" t="n"/>
      <c r="E24" s="10" t="n"/>
      <c r="F24" s="11" t="n"/>
      <c r="G24" s="12">
        <f>IF(E24&lt;&gt;"",E24*IF(F24="",1,F24),"")</f>
        <v/>
      </c>
      <c r="H24" s="13">
        <f>IF(AND(D24&lt;&gt;"",E24&lt;&gt;""),(E24-D24)*IF(F24="",1,F24),"")</f>
        <v/>
      </c>
      <c r="I24" s="9" t="n"/>
    </row>
    <row r="25">
      <c r="A25" s="4" t="n"/>
      <c r="B25" s="4" t="n"/>
      <c r="C25" s="4" t="n"/>
      <c r="D25" s="5" t="n"/>
      <c r="E25" s="5" t="n"/>
      <c r="F25" s="6" t="n"/>
      <c r="G25" s="7">
        <f>IF(E25&lt;&gt;"",E25*IF(F25="",1,F25),"")</f>
        <v/>
      </c>
      <c r="H25" s="8">
        <f>IF(AND(D25&lt;&gt;"",E25&lt;&gt;""),(E25-D25)*IF(F25="",1,F25),"")</f>
        <v/>
      </c>
      <c r="I25" s="4" t="n"/>
    </row>
    <row r="26">
      <c r="A26" s="9" t="n"/>
      <c r="B26" s="9" t="n"/>
      <c r="C26" s="9" t="n"/>
      <c r="D26" s="10" t="n"/>
      <c r="E26" s="10" t="n"/>
      <c r="F26" s="11" t="n"/>
      <c r="G26" s="12">
        <f>IF(E26&lt;&gt;"",E26*IF(F26="",1,F26),"")</f>
        <v/>
      </c>
      <c r="H26" s="13">
        <f>IF(AND(D26&lt;&gt;"",E26&lt;&gt;""),(E26-D26)*IF(F26="",1,F26),"")</f>
        <v/>
      </c>
      <c r="I26" s="9" t="n"/>
    </row>
    <row r="27">
      <c r="A27" s="4" t="n"/>
      <c r="B27" s="4" t="n"/>
      <c r="C27" s="4" t="n"/>
      <c r="D27" s="5" t="n"/>
      <c r="E27" s="5" t="n"/>
      <c r="F27" s="6" t="n"/>
      <c r="G27" s="7">
        <f>IF(E27&lt;&gt;"",E27*IF(F27="",1,F27),"")</f>
        <v/>
      </c>
      <c r="H27" s="8">
        <f>IF(AND(D27&lt;&gt;"",E27&lt;&gt;""),(E27-D27)*IF(F27="",1,F27),"")</f>
        <v/>
      </c>
      <c r="I27" s="4" t="n"/>
    </row>
    <row r="28">
      <c r="A28" s="9" t="n"/>
      <c r="B28" s="9" t="n"/>
      <c r="C28" s="9" t="n"/>
      <c r="D28" s="10" t="n"/>
      <c r="E28" s="10" t="n"/>
      <c r="F28" s="11" t="n"/>
      <c r="G28" s="12">
        <f>IF(E28&lt;&gt;"",E28*IF(F28="",1,F28),"")</f>
        <v/>
      </c>
      <c r="H28" s="13">
        <f>IF(AND(D28&lt;&gt;"",E28&lt;&gt;""),(E28-D28)*IF(F28="",1,F28),"")</f>
        <v/>
      </c>
      <c r="I28" s="9" t="n"/>
    </row>
    <row r="29">
      <c r="A29" s="4" t="n"/>
      <c r="B29" s="4" t="n"/>
      <c r="C29" s="4" t="n"/>
      <c r="D29" s="5" t="n"/>
      <c r="E29" s="5" t="n"/>
      <c r="F29" s="6" t="n"/>
      <c r="G29" s="7">
        <f>IF(E29&lt;&gt;"",E29*IF(F29="",1,F29),"")</f>
        <v/>
      </c>
      <c r="H29" s="8">
        <f>IF(AND(D29&lt;&gt;"",E29&lt;&gt;""),(E29-D29)*IF(F29="",1,F29),"")</f>
        <v/>
      </c>
      <c r="I29" s="4" t="n"/>
    </row>
    <row r="30">
      <c r="A30" s="9" t="n"/>
      <c r="B30" s="9" t="n"/>
      <c r="C30" s="9" t="n"/>
      <c r="D30" s="10" t="n"/>
      <c r="E30" s="10" t="n"/>
      <c r="F30" s="11" t="n"/>
      <c r="G30" s="12">
        <f>IF(E30&lt;&gt;"",E30*IF(F30="",1,F30),"")</f>
        <v/>
      </c>
      <c r="H30" s="13">
        <f>IF(AND(D30&lt;&gt;"",E30&lt;&gt;""),(E30-D30)*IF(F30="",1,F30),"")</f>
        <v/>
      </c>
      <c r="I30" s="9" t="n"/>
    </row>
    <row r="31">
      <c r="A31" s="4" t="n"/>
      <c r="B31" s="4" t="n"/>
      <c r="C31" s="4" t="n"/>
      <c r="D31" s="5" t="n"/>
      <c r="E31" s="5" t="n"/>
      <c r="F31" s="6" t="n"/>
      <c r="G31" s="7">
        <f>IF(E31&lt;&gt;"",E31*IF(F31="",1,F31),"")</f>
        <v/>
      </c>
      <c r="H31" s="8">
        <f>IF(AND(D31&lt;&gt;"",E31&lt;&gt;""),(E31-D31)*IF(F31="",1,F31),"")</f>
        <v/>
      </c>
      <c r="I31" s="4" t="n"/>
    </row>
    <row r="32">
      <c r="A32" s="9" t="n"/>
      <c r="B32" s="9" t="n"/>
      <c r="C32" s="9" t="n"/>
      <c r="D32" s="10" t="n"/>
      <c r="E32" s="10" t="n"/>
      <c r="F32" s="11" t="n"/>
      <c r="G32" s="12">
        <f>IF(E32&lt;&gt;"",E32*IF(F32="",1,F32),"")</f>
        <v/>
      </c>
      <c r="H32" s="13">
        <f>IF(AND(D32&lt;&gt;"",E32&lt;&gt;""),(E32-D32)*IF(F32="",1,F32),"")</f>
        <v/>
      </c>
      <c r="I32" s="9" t="n"/>
    </row>
    <row r="33">
      <c r="A33" s="4" t="n"/>
      <c r="B33" s="4" t="n"/>
      <c r="C33" s="4" t="n"/>
      <c r="D33" s="5" t="n"/>
      <c r="E33" s="5" t="n"/>
      <c r="F33" s="6" t="n"/>
      <c r="G33" s="7">
        <f>IF(E33&lt;&gt;"",E33*IF(F33="",1,F33),"")</f>
        <v/>
      </c>
      <c r="H33" s="8">
        <f>IF(AND(D33&lt;&gt;"",E33&lt;&gt;""),(E33-D33)*IF(F33="",1,F33),"")</f>
        <v/>
      </c>
      <c r="I33" s="4" t="n"/>
    </row>
    <row r="34">
      <c r="A34" s="9" t="n"/>
      <c r="B34" s="9" t="n"/>
      <c r="C34" s="9" t="n"/>
      <c r="D34" s="10" t="n"/>
      <c r="E34" s="10" t="n"/>
      <c r="F34" s="11" t="n"/>
      <c r="G34" s="12">
        <f>IF(E34&lt;&gt;"",E34*IF(F34="",1,F34),"")</f>
        <v/>
      </c>
      <c r="H34" s="13">
        <f>IF(AND(D34&lt;&gt;"",E34&lt;&gt;""),(E34-D34)*IF(F34="",1,F34),"")</f>
        <v/>
      </c>
      <c r="I34" s="9" t="n"/>
    </row>
    <row r="35">
      <c r="A35" s="4" t="n"/>
      <c r="B35" s="4" t="n"/>
      <c r="C35" s="4" t="n"/>
      <c r="D35" s="5" t="n"/>
      <c r="E35" s="5" t="n"/>
      <c r="F35" s="6" t="n"/>
      <c r="G35" s="7">
        <f>IF(E35&lt;&gt;"",E35*IF(F35="",1,F35),"")</f>
        <v/>
      </c>
      <c r="H35" s="8">
        <f>IF(AND(D35&lt;&gt;"",E35&lt;&gt;""),(E35-D35)*IF(F35="",1,F35),"")</f>
        <v/>
      </c>
      <c r="I35" s="4" t="n"/>
    </row>
    <row r="36">
      <c r="A36" s="9" t="n"/>
      <c r="B36" s="9" t="n"/>
      <c r="C36" s="9" t="n"/>
      <c r="D36" s="10" t="n"/>
      <c r="E36" s="10" t="n"/>
      <c r="F36" s="11" t="n"/>
      <c r="G36" s="12">
        <f>IF(E36&lt;&gt;"",E36*IF(F36="",1,F36),"")</f>
        <v/>
      </c>
      <c r="H36" s="13">
        <f>IF(AND(D36&lt;&gt;"",E36&lt;&gt;""),(E36-D36)*IF(F36="",1,F36),"")</f>
        <v/>
      </c>
      <c r="I36" s="9" t="n"/>
    </row>
    <row r="37">
      <c r="A37" s="4" t="n"/>
      <c r="B37" s="4" t="n"/>
      <c r="C37" s="4" t="n"/>
      <c r="D37" s="5" t="n"/>
      <c r="E37" s="5" t="n"/>
      <c r="F37" s="6" t="n"/>
      <c r="G37" s="7">
        <f>IF(E37&lt;&gt;"",E37*IF(F37="",1,F37),"")</f>
        <v/>
      </c>
      <c r="H37" s="8">
        <f>IF(AND(D37&lt;&gt;"",E37&lt;&gt;""),(E37-D37)*IF(F37="",1,F37),"")</f>
        <v/>
      </c>
      <c r="I37" s="4" t="n"/>
    </row>
    <row r="38">
      <c r="A38" s="9" t="n"/>
      <c r="B38" s="9" t="n"/>
      <c r="C38" s="9" t="n"/>
      <c r="D38" s="10" t="n"/>
      <c r="E38" s="10" t="n"/>
      <c r="F38" s="11" t="n"/>
      <c r="G38" s="12">
        <f>IF(E38&lt;&gt;"",E38*IF(F38="",1,F38),"")</f>
        <v/>
      </c>
      <c r="H38" s="13">
        <f>IF(AND(D38&lt;&gt;"",E38&lt;&gt;""),(E38-D38)*IF(F38="",1,F38),"")</f>
        <v/>
      </c>
      <c r="I38" s="9" t="n"/>
    </row>
    <row r="39">
      <c r="A39" s="4" t="n"/>
      <c r="B39" s="4" t="n"/>
      <c r="C39" s="4" t="n"/>
      <c r="D39" s="5" t="n"/>
      <c r="E39" s="5" t="n"/>
      <c r="F39" s="6" t="n"/>
      <c r="G39" s="7">
        <f>IF(E39&lt;&gt;"",E39*IF(F39="",1,F39),"")</f>
        <v/>
      </c>
      <c r="H39" s="8">
        <f>IF(AND(D39&lt;&gt;"",E39&lt;&gt;""),(E39-D39)*IF(F39="",1,F39),"")</f>
        <v/>
      </c>
      <c r="I39" s="4" t="n"/>
    </row>
    <row r="40">
      <c r="A40" s="9" t="n"/>
      <c r="B40" s="9" t="n"/>
      <c r="C40" s="9" t="n"/>
      <c r="D40" s="10" t="n"/>
      <c r="E40" s="10" t="n"/>
      <c r="F40" s="11" t="n"/>
      <c r="G40" s="12">
        <f>IF(E40&lt;&gt;"",E40*IF(F40="",1,F40),"")</f>
        <v/>
      </c>
      <c r="H40" s="13">
        <f>IF(AND(D40&lt;&gt;"",E40&lt;&gt;""),(E40-D40)*IF(F40="",1,F40),"")</f>
        <v/>
      </c>
      <c r="I40" s="9" t="n"/>
    </row>
    <row r="41">
      <c r="A41" s="4" t="n"/>
      <c r="B41" s="4" t="n"/>
      <c r="C41" s="4" t="n"/>
      <c r="D41" s="5" t="n"/>
      <c r="E41" s="5" t="n"/>
      <c r="F41" s="6" t="n"/>
      <c r="G41" s="7">
        <f>IF(E41&lt;&gt;"",E41*IF(F41="",1,F41),"")</f>
        <v/>
      </c>
      <c r="H41" s="8">
        <f>IF(AND(D41&lt;&gt;"",E41&lt;&gt;""),(E41-D41)*IF(F41="",1,F41),"")</f>
        <v/>
      </c>
      <c r="I41" s="4" t="n"/>
    </row>
    <row r="42">
      <c r="A42" s="9" t="n"/>
      <c r="B42" s="9" t="n"/>
      <c r="C42" s="9" t="n"/>
      <c r="D42" s="10" t="n"/>
      <c r="E42" s="10" t="n"/>
      <c r="F42" s="11" t="n"/>
      <c r="G42" s="12">
        <f>IF(E42&lt;&gt;"",E42*IF(F42="",1,F42),"")</f>
        <v/>
      </c>
      <c r="H42" s="13">
        <f>IF(AND(D42&lt;&gt;"",E42&lt;&gt;""),(E42-D42)*IF(F42="",1,F42),"")</f>
        <v/>
      </c>
      <c r="I42" s="9" t="n"/>
    </row>
    <row r="43">
      <c r="A43" s="4" t="n"/>
      <c r="B43" s="4" t="n"/>
      <c r="C43" s="4" t="n"/>
      <c r="D43" s="5" t="n"/>
      <c r="E43" s="5" t="n"/>
      <c r="F43" s="6" t="n"/>
      <c r="G43" s="7">
        <f>IF(E43&lt;&gt;"",E43*IF(F43="",1,F43),"")</f>
        <v/>
      </c>
      <c r="H43" s="8">
        <f>IF(AND(D43&lt;&gt;"",E43&lt;&gt;""),(E43-D43)*IF(F43="",1,F43),"")</f>
        <v/>
      </c>
      <c r="I43" s="4" t="n"/>
    </row>
    <row r="44">
      <c r="A44" s="9" t="n"/>
      <c r="B44" s="9" t="n"/>
      <c r="C44" s="9" t="n"/>
      <c r="D44" s="10" t="n"/>
      <c r="E44" s="10" t="n"/>
      <c r="F44" s="11" t="n"/>
      <c r="G44" s="12">
        <f>IF(E44&lt;&gt;"",E44*IF(F44="",1,F44),"")</f>
        <v/>
      </c>
      <c r="H44" s="13">
        <f>IF(AND(D44&lt;&gt;"",E44&lt;&gt;""),(E44-D44)*IF(F44="",1,F44),"")</f>
        <v/>
      </c>
      <c r="I44" s="9" t="n"/>
    </row>
    <row r="45" ht="24" customHeight="1">
      <c r="A45" s="14" t="inlineStr">
        <is>
          <t>TOTAIS DO MÊS</t>
        </is>
      </c>
      <c r="B45" s="15" t="n"/>
      <c r="C45" s="15" t="n"/>
      <c r="D45" s="15" t="n"/>
      <c r="E45" s="15" t="n"/>
      <c r="F45" s="15" t="n"/>
      <c r="G45" s="16">
        <f>SUM(G5:G44)</f>
        <v/>
      </c>
      <c r="H45" s="16">
        <f>SUM(H5:H44)</f>
        <v/>
      </c>
      <c r="I45" s="15" t="n"/>
    </row>
  </sheetData>
  <mergeCells count="3">
    <mergeCell ref="A1:I1"/>
    <mergeCell ref="A45:F45"/>
    <mergeCell ref="A2:I2"/>
  </mergeCells>
  <dataValidations count="1">
    <dataValidation sqref="I5:I44" showDropDown="0" showInputMessage="0" showErrorMessage="0" allowBlank="1" type="list">
      <formula1>"Pix,Dinheiro,Cartão,Fiado"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80D9D"/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6" customWidth="1" min="4" max="4"/>
  </cols>
  <sheetData>
    <row r="2" ht="36" customHeight="1">
      <c r="B2" s="17" t="inlineStr">
        <is>
          <t>Resumo do mês 💜</t>
        </is>
      </c>
    </row>
    <row r="4" ht="30" customHeight="1">
      <c r="B4" s="18" t="inlineStr">
        <is>
          <t>Faturamento total</t>
        </is>
      </c>
      <c r="C4" s="19">
        <f>Vendas!G45</f>
        <v/>
      </c>
    </row>
    <row r="5" ht="30" customHeight="1">
      <c r="B5" s="20" t="inlineStr">
        <is>
          <t>Lucro total</t>
        </is>
      </c>
      <c r="C5" s="21">
        <f>Vendas!H45</f>
        <v/>
      </c>
    </row>
    <row r="6" ht="30" customHeight="1">
      <c r="B6" s="22" t="inlineStr">
        <is>
          <t>Custo total</t>
        </is>
      </c>
      <c r="C6" s="23">
        <f>Vendas!G45-Vendas!H45</f>
        <v/>
      </c>
    </row>
    <row r="7" ht="30" customHeight="1">
      <c r="B7" s="24" t="inlineStr">
        <is>
          <t>Nº de vendas</t>
        </is>
      </c>
      <c r="C7" s="25">
        <f>COUNT(Vendas!G5:Vendas!G44)</f>
        <v/>
      </c>
    </row>
    <row r="8" ht="30" customHeight="1">
      <c r="B8" s="24" t="inlineStr">
        <is>
          <t>Ticket médio (R$)</t>
        </is>
      </c>
      <c r="C8" s="26">
        <f>IFERROR(Vendas!G45/COUNT(Vendas!G5:Vendas!G44),0)</f>
        <v/>
      </c>
    </row>
    <row r="9" ht="30" customHeight="1">
      <c r="B9" s="24" t="inlineStr">
        <is>
          <t>Margem de lucro (%)</t>
        </is>
      </c>
      <c r="C9" s="27">
        <f>IFERROR(Vendas!H45/Vendas!G45,0)</f>
        <v/>
      </c>
    </row>
    <row r="11" ht="26" customHeight="1">
      <c r="B11" s="28" t="inlineStr">
        <is>
          <t>🎯 Minha meta de lucro do mês</t>
        </is>
      </c>
    </row>
    <row r="12">
      <c r="B12" s="29" t="inlineStr">
        <is>
          <t>Meta (edite aqui):</t>
        </is>
      </c>
      <c r="C12" s="30" t="n">
        <v>500</v>
      </c>
    </row>
    <row r="13">
      <c r="B13" s="29" t="inlineStr">
        <is>
          <t>Quanto falta:</t>
        </is>
      </c>
      <c r="C13" s="31">
        <f>MAX(C12-Vendas!H45,0)</f>
        <v/>
      </c>
    </row>
    <row r="14">
      <c r="B14" s="29" t="inlineStr">
        <is>
          <t>% da meta atingida:</t>
        </is>
      </c>
      <c r="C14" s="32">
        <f>IFERROR(Vendas!H45/C12,0)</f>
        <v/>
      </c>
    </row>
    <row r="16">
      <c r="B16" s="33" t="inlineStr">
        <is>
          <t>Dica: preencha a aba "Vendas" a cada venda. Aqui tudo atualiza sozinho.</t>
        </is>
      </c>
    </row>
  </sheetData>
  <mergeCells count="9">
    <mergeCell ref="B8"/>
    <mergeCell ref="B4"/>
    <mergeCell ref="B16:C16"/>
    <mergeCell ref="B9"/>
    <mergeCell ref="B11:C11"/>
    <mergeCell ref="B7"/>
    <mergeCell ref="B6"/>
    <mergeCell ref="B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2026-07-14T01:44:06Z</dcterms:created>
  <dcterms:modified xmlns:dcterms="http://purl.org/dc/terms/" xmlns:xsi="http://www.w3.org/2001/XMLSchema-instance" xsi:type="dcterms:W3CDTF">2026-07-14T01:44:06Z</dcterms:modified>
</cp:coreProperties>
</file>